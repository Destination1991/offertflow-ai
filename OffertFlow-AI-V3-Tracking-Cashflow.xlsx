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" sheetId="1" r:id="rId1"/>
    <sheet name="Cashflow" sheetId="2" r:id="rId2"/>
    <sheet name="Marketing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CHF #,##0"/>
    <numFmt numFmtId="61" formatCode="0.0%"/>
    <numFmt numFmtId="62" formatCode="CHF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24.83203125" customWidth="1"/>
    <col min="7" max="7" width="12.83203125" customWidth="1"/>
    <col min="8" max="8" width="14.83203125" customWidth="1"/>
  </cols>
  <sheetData>
    <row r="1">
      <c r="A1" t="str">
        <v>Kunde</v>
      </c>
      <c r="B1" t="str">
        <v>Projekt</v>
      </c>
      <c r="C1" t="str">
        <v>Offerte gesendet am</v>
      </c>
      <c r="D1" t="str">
        <v>Naechster Kontakt</v>
      </c>
      <c r="E1" t="str">
        <v>Status</v>
      </c>
      <c r="F1" t="str">
        <v>Offene Frage / Einwand</v>
      </c>
      <c r="G1" t="str">
        <v>Wert CHF</v>
      </c>
      <c r="H1" t="str">
        <v>Abschluss</v>
      </c>
    </row>
    <row r="2">
      <c r="A2" t="str">
        <v>Muster AG</v>
      </c>
      <c r="B2" t="str">
        <v>Badumbau</v>
      </c>
      <c r="C2" t="str">
        <v>2026-06-26</v>
      </c>
      <c r="D2" t="str">
        <v>2026-06-29</v>
      </c>
      <c r="E2" t="str">
        <v>Nachfassen Tag 3</v>
      </c>
      <c r="F2" t="str">
        <v>Preis noch offen</v>
      </c>
      <c r="G2" s="1">
        <v>6800</v>
      </c>
      <c r="H2" t="str">
        <v>offen</v>
      </c>
    </row>
    <row r="3">
      <c r="A3" t="str">
        <v>Beispiel GmbH</v>
      </c>
      <c r="B3" t="str">
        <v>Malerarbeiten</v>
      </c>
      <c r="C3" t="str">
        <v>2026-06-24</v>
      </c>
      <c r="D3" t="str">
        <v>2026-07-01</v>
      </c>
      <c r="E3" t="str">
        <v>Nachfassen Tag 7</v>
      </c>
      <c r="F3" t="str">
        <v>keine</v>
      </c>
      <c r="G3" s="1">
        <v>4200</v>
      </c>
      <c r="H3" t="str">
        <v>offen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Annahme</v>
      </c>
      <c r="B1" t="str">
        <v>Wert</v>
      </c>
    </row>
    <row r="2">
      <c r="A2" t="str">
        <v>Basispreis CHF</v>
      </c>
      <c r="B2" s="1">
        <v>79</v>
      </c>
    </row>
    <row r="3">
      <c r="A3" t="str">
        <v>Pro-Preis CHF</v>
      </c>
      <c r="B3" s="1">
        <v>249</v>
      </c>
    </row>
    <row r="4">
      <c r="A4" t="str">
        <v>Basis-Verkaeufe/Monat</v>
      </c>
      <c r="B4">
        <v>20</v>
      </c>
    </row>
    <row r="5">
      <c r="A5" t="str">
        <v>Pro-Verkaeufe/Monat</v>
      </c>
      <c r="B5">
        <v>6</v>
      </c>
    </row>
    <row r="6">
      <c r="A6" t="str">
        <v>Monatliche Fixkosten CHF</v>
      </c>
      <c r="B6" s="1">
        <v>350</v>
      </c>
    </row>
    <row r="7">
      <c r="A7" t="str">
        <v>Zahlungsgebuehren %</v>
      </c>
      <c r="B7" s="2">
        <v>0.03</v>
      </c>
    </row>
    <row r="8">
      <c r="A8" t="str">
        <v>Umsatz Basis</v>
      </c>
      <c r="B8" s="3">
        <f>B2*B4</f>
      </c>
    </row>
    <row r="9">
      <c r="A9" t="str">
        <v>Umsatz Pro</v>
      </c>
      <c r="B9" s="3">
        <f>B3*B5</f>
      </c>
    </row>
    <row r="10">
      <c r="A10" t="str">
        <v>Gesamtumsatz</v>
      </c>
      <c r="B10" s="3">
        <f>SUM(B8:B9)</f>
      </c>
    </row>
    <row r="11">
      <c r="A11" t="str">
        <v>Gebuehren</v>
      </c>
      <c r="B11" s="3">
        <f>B10*B7</f>
      </c>
    </row>
    <row r="12">
      <c r="A12" t="str">
        <v>Deckungsbeitrag vor Steuern</v>
      </c>
      <c r="B12" s="3">
        <f>B10-B11-B6</f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0.83203125" customWidth="1"/>
    <col min="2" max="2" width="28.83203125" customWidth="1"/>
    <col min="3" max="3" width="18.83203125" customWidth="1"/>
    <col min="4" max="4" width="22.83203125" customWidth="1"/>
  </cols>
  <sheetData>
    <row r="1">
      <c r="A1" t="str">
        <v>Woche</v>
      </c>
      <c r="B1" t="str">
        <v>Aufgabe</v>
      </c>
      <c r="C1" t="str">
        <v>Kanal</v>
      </c>
      <c r="D1" t="str">
        <v>Ziel</v>
      </c>
    </row>
    <row r="2">
      <c r="A2" t="str">
        <v>1</v>
      </c>
      <c r="B2" t="str">
        <v>Landingpage finalisieren</v>
      </c>
      <c r="C2" t="str">
        <v>Website/GitHub</v>
      </c>
      <c r="D2" t="str">
        <v>Produkt online</v>
      </c>
    </row>
    <row r="3">
      <c r="A3" t="str">
        <v>1</v>
      </c>
      <c r="B3" t="str">
        <v>Checkout einrichten</v>
      </c>
      <c r="C3" t="str">
        <v>Stripe/Playto</v>
      </c>
      <c r="D3" t="str">
        <v>Bezahlbar machen</v>
      </c>
    </row>
    <row r="4">
      <c r="A4" t="str">
        <v>2</v>
      </c>
      <c r="B4" t="str">
        <v>Lead Magnet veroeffentlichen</v>
      </c>
      <c r="C4" t="str">
        <v>Website/E-Mail</v>
      </c>
      <c r="D4" t="str">
        <v>Leads sammeln</v>
      </c>
    </row>
    <row r="5">
      <c r="A5" t="str">
        <v>2</v>
      </c>
      <c r="B5" t="str">
        <v>10 Outreach-Nachrichten pro Tag</v>
      </c>
      <c r="C5" t="str">
        <v>E-Mail/LinkedIn</v>
      </c>
      <c r="D5" t="str">
        <v>Erste Gespraeche</v>
      </c>
    </row>
    <row r="6">
      <c r="A6" t="str">
        <v>3</v>
      </c>
      <c r="B6" t="str">
        <v>3 Kurzvideos posten</v>
      </c>
      <c r="C6" t="str">
        <v>LinkedIn/Instagram</v>
      </c>
      <c r="D6" t="str">
        <v>Reichweite</v>
      </c>
    </row>
    <row r="7">
      <c r="A7" t="str">
        <v>4</v>
      </c>
      <c r="B7" t="str">
        <v>Retargeting pruefen</v>
      </c>
      <c r="C7" t="str">
        <v>Ads</v>
      </c>
      <c r="D7" t="str">
        <v>Conversions steigern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Cashflow</vt:lpstr>
      <vt:lpstr>Marketingplan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